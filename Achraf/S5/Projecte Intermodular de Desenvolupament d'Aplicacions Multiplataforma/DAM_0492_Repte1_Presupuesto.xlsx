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Achraf\Documents\Instituto\Achraf\S5\Projecte Intermodular de Desenvolupament d'Aplicacions Multiplataforma\"/>
    </mc:Choice>
  </mc:AlternateContent>
  <bookViews>
    <workbookView xWindow="0" yWindow="0" windowWidth="28800" windowHeight="13020" activeTab="1"/>
  </bookViews>
  <sheets>
    <sheet name="Hoja1" sheetId="2" r:id="rId1"/>
    <sheet name="DAM_0492_Repte1_Presupuesto" sheetId="1" r:id="rId2"/>
  </sheets>
  <calcPr calcId="15251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E9" i="1" l="1"/>
  <c r="E10" i="1" s="1"/>
  <c r="E11" i="1" l="1"/>
</calcChain>
</file>

<file path=xl/sharedStrings.xml><?xml version="1.0" encoding="utf-8"?>
<sst xmlns="http://schemas.openxmlformats.org/spreadsheetml/2006/main" count="20" uniqueCount="20">
  <si>
    <t>Concepto / Recurso</t>
  </si>
  <si>
    <t>Cantidad</t>
  </si>
  <si>
    <t>Coste unitario</t>
  </si>
  <si>
    <t>Coste total</t>
  </si>
  <si>
    <t>Base Imponible</t>
  </si>
  <si>
    <t>IVA (21%)</t>
  </si>
  <si>
    <t>Descripción</t>
  </si>
  <si>
    <t>Total Proyecto</t>
  </si>
  <si>
    <t>Portátil Lenovo ThinkPad E16 (AMD)</t>
  </si>
  <si>
    <t>AMD Ryzen 7 (8c/16t), 32 GB RAM DDR5, 1 TB SSD NVMe para Android Studio, Spring Boot y BD</t>
  </si>
  <si>
    <t>Emulador Android Studio (AVD)</t>
  </si>
  <si>
    <t>Entorno oficial de emulación virtual para pruebas móviles multiplataforma</t>
  </si>
  <si>
    <t>Servidor VPS y Base de Datos (Cloud)</t>
  </si>
  <si>
    <t>Servidor Linux VPS anual para despliegue de API Spring Boot y PostgreSQL</t>
  </si>
  <si>
    <t>Dominio y gestión SSL/TLS</t>
  </si>
  <si>
    <t>Horas: Análisis y diseño técnico</t>
  </si>
  <si>
    <t>Horas: Programación multiplataforma</t>
  </si>
  <si>
    <t>Desarrollo servidor Spring Boot, cliente JavaFX y cliente móvil Android</t>
  </si>
  <si>
    <t>PostgreSQL, diseño de endpoints y flujos de usuario</t>
  </si>
  <si>
    <t>Registro de dominio anual y certificados de cifrado de red HTTPS (SSL)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</si>
</sst>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0" fontId="13" fillId="7" borderId="7" xfId="14"/>
    <xf numFmtId="8" fontId="13" fillId="7" borderId="7" xfId="14" applyNumberFormat="1"/>
    <xf numFmtId="164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">
    <dxf>
      <numFmt numFmtId="164" formatCode="_-* #,##0.00\ [$€-C0A]_-;\-* #,##0.00\ [$€-C0A]_-;_-* &quot;-&quot;??\ [$€-C0A]_-;_-@_-"/>
    </dxf>
    <dxf>
      <numFmt numFmtId="12" formatCode="#,##0.00\ &quot;€&quot;;[Red]\-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E7" totalsRowShown="0">
  <autoFilter ref="A1:E7"/>
  <tableColumns count="5">
    <tableColumn id="1" name="Concepto / Recurso"/>
    <tableColumn id="2" name="Descripción"/>
    <tableColumn id="3" name="Cantidad"/>
    <tableColumn id="4" name="Coste unitario" dataDxfId="1"/>
    <tableColumn id="5" name="Coste total" dataDxfId="0" dataCellStyle="Moneda">
      <calculatedColumnFormula>Tabla1[[#This Row],[Coste unitario]]*Tabla1[[#This Row],[Cantidad]]</calculatedColumnFormula>
    </tableColumn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3" sqref="L13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60" zoomScaleNormal="160" workbookViewId="0">
      <selection activeCell="B15" sqref="B15"/>
    </sheetView>
  </sheetViews>
  <sheetFormatPr baseColWidth="10" defaultRowHeight="15" x14ac:dyDescent="0.25"/>
  <cols>
    <col min="1" max="1" width="35.140625" customWidth="1"/>
    <col min="2" max="2" width="82.85546875" customWidth="1"/>
    <col min="3" max="3" width="11" customWidth="1"/>
    <col min="4" max="4" width="15.5703125" customWidth="1"/>
    <col min="5" max="5" width="12.7109375" customWidth="1"/>
  </cols>
  <sheetData>
    <row r="1" spans="1:5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</row>
    <row r="2" spans="1:5" x14ac:dyDescent="0.25">
      <c r="A2" t="s">
        <v>8</v>
      </c>
      <c r="B2" t="s">
        <v>9</v>
      </c>
      <c r="C2">
        <v>1</v>
      </c>
      <c r="D2" s="1">
        <v>825.62</v>
      </c>
      <c r="E2" s="4">
        <f>Tabla1[[#This Row],[Coste unitario]]*Tabla1[[#This Row],[Cantidad]]</f>
        <v>825.62</v>
      </c>
    </row>
    <row r="3" spans="1:5" x14ac:dyDescent="0.25">
      <c r="A3" t="s">
        <v>10</v>
      </c>
      <c r="B3" t="s">
        <v>11</v>
      </c>
      <c r="C3">
        <v>1</v>
      </c>
      <c r="D3" s="1">
        <v>0</v>
      </c>
      <c r="E3" s="4">
        <f>Tabla1[[#This Row],[Coste unitario]]*Tabla1[[#This Row],[Cantidad]]</f>
        <v>0</v>
      </c>
    </row>
    <row r="4" spans="1:5" x14ac:dyDescent="0.25">
      <c r="A4" t="s">
        <v>12</v>
      </c>
      <c r="B4" t="s">
        <v>13</v>
      </c>
      <c r="C4">
        <v>12</v>
      </c>
      <c r="D4" s="1">
        <v>9.92</v>
      </c>
      <c r="E4" s="4">
        <f>Tabla1[[#This Row],[Coste unitario]]*Tabla1[[#This Row],[Cantidad]]</f>
        <v>119.03999999999999</v>
      </c>
    </row>
    <row r="5" spans="1:5" x14ac:dyDescent="0.25">
      <c r="A5" t="s">
        <v>14</v>
      </c>
      <c r="B5" t="s">
        <v>19</v>
      </c>
      <c r="C5">
        <v>1</v>
      </c>
      <c r="D5" s="1">
        <v>20.66</v>
      </c>
      <c r="E5" s="4">
        <f>Tabla1[[#This Row],[Coste unitario]]*Tabla1[[#This Row],[Cantidad]]</f>
        <v>20.66</v>
      </c>
    </row>
    <row r="6" spans="1:5" x14ac:dyDescent="0.25">
      <c r="A6" t="s">
        <v>15</v>
      </c>
      <c r="B6" t="s">
        <v>18</v>
      </c>
      <c r="C6">
        <v>35</v>
      </c>
      <c r="D6" s="1">
        <v>25</v>
      </c>
      <c r="E6" s="4">
        <f>Tabla1[[#This Row],[Coste unitario]]*Tabla1[[#This Row],[Cantidad]]</f>
        <v>875</v>
      </c>
    </row>
    <row r="7" spans="1:5" x14ac:dyDescent="0.25">
      <c r="A7" t="s">
        <v>16</v>
      </c>
      <c r="B7" t="s">
        <v>17</v>
      </c>
      <c r="C7">
        <v>130</v>
      </c>
      <c r="D7" s="1">
        <v>20</v>
      </c>
      <c r="E7" s="4">
        <f>Tabla1[[#This Row],[Coste unitario]]*Tabla1[[#This Row],[Cantidad]]</f>
        <v>2600</v>
      </c>
    </row>
    <row r="8" spans="1:5" ht="15.75" thickBot="1" x14ac:dyDescent="0.3">
      <c r="D8" s="1"/>
      <c r="E8" s="1"/>
    </row>
    <row r="9" spans="1:5" ht="16.5" thickTop="1" thickBot="1" x14ac:dyDescent="0.3">
      <c r="D9" s="2" t="s">
        <v>4</v>
      </c>
      <c r="E9" s="3">
        <f>SUM(Tabla1[Coste total])</f>
        <v>4440.32</v>
      </c>
    </row>
    <row r="10" spans="1:5" ht="16.5" thickTop="1" thickBot="1" x14ac:dyDescent="0.3">
      <c r="D10" s="2" t="s">
        <v>5</v>
      </c>
      <c r="E10" s="3">
        <f>E9*21%</f>
        <v>932.46719999999993</v>
      </c>
    </row>
    <row r="11" spans="1:5" ht="16.5" thickTop="1" thickBot="1" x14ac:dyDescent="0.3">
      <c r="D11" s="2" t="s">
        <v>7</v>
      </c>
      <c r="E11" s="3">
        <f>E9+E10</f>
        <v>5372.7871999999998</v>
      </c>
    </row>
    <row r="12" spans="1:5" ht="15.75" thickTop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DAM_0492_Repte1_Presupuesto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AshNinja YT</dc:creator>
  <cp:lastModifiedBy>Achraf</cp:lastModifiedBy>
  <dcterms:modified xsi:type="dcterms:W3CDTF">2026-10-06T18:02:34Z</dcterms:modified>
</cp:coreProperties>
</file>